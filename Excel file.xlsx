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0fb457357a229fa/Desktop/Group 19 -Assignment 2/"/>
    </mc:Choice>
  </mc:AlternateContent>
  <xr:revisionPtr revIDLastSave="619" documentId="8_{C70452B9-9393-427C-B2F9-39B8144EFA15}" xr6:coauthVersionLast="47" xr6:coauthVersionMax="47" xr10:uidLastSave="{2E6F0B24-7C84-49D9-94BA-8BC01718ED50}"/>
  <bookViews>
    <workbookView xWindow="-108" yWindow="-108" windowWidth="23256" windowHeight="12456" xr2:uid="{B6C2C555-7E62-0541-AC5B-F7415603F37E}"/>
  </bookViews>
  <sheets>
    <sheet name="Analysis" sheetId="1" r:id="rId1"/>
  </sheets>
  <definedNames>
    <definedName name="solver_adj" localSheetId="0" hidden="1">Analysis!$F$17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Analysis!$F$20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AA8" i="1" s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2" i="1"/>
  <c r="L13" i="1"/>
  <c r="J9" i="1"/>
  <c r="J8" i="1"/>
  <c r="J7" i="1"/>
  <c r="J6" i="1"/>
  <c r="F21" i="1"/>
  <c r="E7" i="1"/>
  <c r="E6" i="1"/>
  <c r="E8" i="1" a="1"/>
  <c r="E8" i="1" s="1"/>
  <c r="F19" i="1" a="1"/>
  <c r="F19" i="1" s="1"/>
  <c r="F16" i="1"/>
  <c r="F15" i="1"/>
  <c r="F18" i="1" s="1"/>
  <c r="K9" i="1" s="1"/>
  <c r="L9" i="1" s="1"/>
  <c r="AA47" i="1" l="1"/>
  <c r="AA39" i="1"/>
  <c r="AA31" i="1"/>
  <c r="AA23" i="1"/>
  <c r="AA15" i="1"/>
  <c r="AA7" i="1"/>
  <c r="AA46" i="1"/>
  <c r="AA38" i="1"/>
  <c r="AA30" i="1"/>
  <c r="AA22" i="1"/>
  <c r="AA14" i="1"/>
  <c r="AA6" i="1"/>
  <c r="AA5" i="1"/>
  <c r="AA2" i="1"/>
  <c r="AA44" i="1"/>
  <c r="AA36" i="1"/>
  <c r="AA28" i="1"/>
  <c r="AA20" i="1"/>
  <c r="AA12" i="1"/>
  <c r="AA4" i="1"/>
  <c r="AA51" i="1"/>
  <c r="AA43" i="1"/>
  <c r="AA35" i="1"/>
  <c r="AA27" i="1"/>
  <c r="AA19" i="1"/>
  <c r="AA11" i="1"/>
  <c r="AA3" i="1"/>
  <c r="AA50" i="1"/>
  <c r="AA42" i="1"/>
  <c r="AA34" i="1"/>
  <c r="AA26" i="1"/>
  <c r="AA18" i="1"/>
  <c r="AA10" i="1"/>
  <c r="AA49" i="1"/>
  <c r="AA41" i="1"/>
  <c r="AA33" i="1"/>
  <c r="AA25" i="1"/>
  <c r="AA17" i="1"/>
  <c r="AA9" i="1"/>
  <c r="Z48" i="1"/>
  <c r="Z40" i="1"/>
  <c r="Z32" i="1"/>
  <c r="Z24" i="1"/>
  <c r="Z16" i="1"/>
  <c r="Z8" i="1"/>
  <c r="Z47" i="1"/>
  <c r="Z39" i="1"/>
  <c r="Z31" i="1"/>
  <c r="Z23" i="1"/>
  <c r="Z15" i="1"/>
  <c r="Z7" i="1"/>
  <c r="AA48" i="1"/>
  <c r="AA32" i="1"/>
  <c r="AA24" i="1"/>
  <c r="AA16" i="1"/>
  <c r="Z46" i="1"/>
  <c r="Z38" i="1"/>
  <c r="Z30" i="1"/>
  <c r="Z22" i="1"/>
  <c r="Z14" i="1"/>
  <c r="Z6" i="1"/>
  <c r="AA40" i="1"/>
  <c r="Z45" i="1"/>
  <c r="Z37" i="1"/>
  <c r="Z29" i="1"/>
  <c r="Z21" i="1"/>
  <c r="Z13" i="1"/>
  <c r="Z5" i="1"/>
  <c r="Z2" i="1"/>
  <c r="Z44" i="1"/>
  <c r="Z36" i="1"/>
  <c r="Z28" i="1"/>
  <c r="Z20" i="1"/>
  <c r="Z12" i="1"/>
  <c r="Z4" i="1"/>
  <c r="AA45" i="1"/>
  <c r="AA37" i="1"/>
  <c r="AA29" i="1"/>
  <c r="AA21" i="1"/>
  <c r="AA13" i="1"/>
  <c r="Z51" i="1"/>
  <c r="Z43" i="1"/>
  <c r="Z35" i="1"/>
  <c r="Z27" i="1"/>
  <c r="Z19" i="1"/>
  <c r="Z11" i="1"/>
  <c r="Z3" i="1"/>
  <c r="Z50" i="1"/>
  <c r="Z42" i="1"/>
  <c r="Z34" i="1"/>
  <c r="Z26" i="1"/>
  <c r="Z18" i="1"/>
  <c r="Z10" i="1"/>
  <c r="Z49" i="1"/>
  <c r="Z41" i="1"/>
  <c r="Z33" i="1"/>
  <c r="Z25" i="1"/>
  <c r="Z17" i="1"/>
  <c r="Z9" i="1"/>
  <c r="M9" i="1"/>
  <c r="F20" i="1"/>
  <c r="K6" i="1"/>
  <c r="L6" i="1" s="1"/>
  <c r="M6" i="1" s="1"/>
  <c r="K8" i="1"/>
  <c r="L8" i="1" s="1"/>
  <c r="M8" i="1" s="1"/>
  <c r="K7" i="1"/>
  <c r="L7" i="1" s="1"/>
  <c r="M7" i="1" s="1"/>
  <c r="M10" i="1" l="1"/>
  <c r="I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<sst xmlns="http://schemas.openxmlformats.org/spreadsheetml/2006/main" count="50" uniqueCount="43">
  <si>
    <t>Group 19</t>
  </si>
  <si>
    <t>Mean</t>
  </si>
  <si>
    <t>Variance</t>
  </si>
  <si>
    <t>Values</t>
  </si>
  <si>
    <t>Key Metrics</t>
  </si>
  <si>
    <t>Scale paramater (Beta)</t>
  </si>
  <si>
    <t>AVERAGE</t>
  </si>
  <si>
    <t>Cell</t>
  </si>
  <si>
    <t>Formula</t>
  </si>
  <si>
    <t>Purpose</t>
  </si>
  <si>
    <t>Mean of data</t>
  </si>
  <si>
    <t>Variance of data</t>
  </si>
  <si>
    <t>Average of natural log of data</t>
  </si>
  <si>
    <t>F15</t>
  </si>
  <si>
    <t>F16</t>
  </si>
  <si>
    <t>F17</t>
  </si>
  <si>
    <t>F18</t>
  </si>
  <si>
    <t>F19</t>
  </si>
  <si>
    <t>Residual</t>
  </si>
  <si>
    <t>Shape k (Alpha)</t>
  </si>
  <si>
    <t>Observed (O)</t>
  </si>
  <si>
    <t>Expected (E)</t>
  </si>
  <si>
    <t>Bin Range</t>
  </si>
  <si>
    <t>0-2</t>
  </si>
  <si>
    <t>2-4</t>
  </si>
  <si>
    <t>4-6</t>
  </si>
  <si>
    <t>Probablity</t>
  </si>
  <si>
    <t>[Chi-Squared Values]</t>
  </si>
  <si>
    <t>(O - E) ^2 / E</t>
  </si>
  <si>
    <t>6-10</t>
  </si>
  <si>
    <t>Degree of Freedom (DoF)</t>
  </si>
  <si>
    <t>Critical Value</t>
  </si>
  <si>
    <t xml:space="preserve"> RESULT: 2.521&lt;3.841 → Gamma is a good fit!</t>
  </si>
  <si>
    <r>
      <t>MLE Shape (</t>
    </r>
    <r>
      <rPr>
        <i/>
        <sz val="14.5"/>
        <color rgb="FFF8FAFF"/>
        <rFont val="KaTeX_Math"/>
      </rPr>
      <t>k via solver</t>
    </r>
    <r>
      <rPr>
        <sz val="9"/>
        <color rgb="FFF8FAFF"/>
        <rFont val="Segoe UI"/>
        <family val="2"/>
      </rPr>
      <t>)</t>
    </r>
  </si>
  <si>
    <r>
      <t>MLE Scale (</t>
    </r>
    <r>
      <rPr>
        <i/>
        <sz val="14.5"/>
        <color rgb="FFF8FAFF"/>
        <rFont val="KaTeX_Math"/>
      </rPr>
      <t>θ via solver</t>
    </r>
    <r>
      <rPr>
        <sz val="9"/>
        <color rgb="FFF8FAFF"/>
        <rFont val="Segoe UI"/>
        <family val="2"/>
      </rPr>
      <t>)</t>
    </r>
  </si>
  <si>
    <t>Empirical Probability</t>
  </si>
  <si>
    <t>Gamma CDF</t>
  </si>
  <si>
    <t>Theoretical Gamma Quantiles</t>
  </si>
  <si>
    <t>Sorted Data</t>
  </si>
  <si>
    <t>Bin</t>
  </si>
  <si>
    <t>More</t>
  </si>
  <si>
    <t>Frequency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</si>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</sst>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rgb="FFF5F5F5"/>
      <name val="Segoe UI"/>
      <family val="2"/>
    </font>
    <font>
      <sz val="9"/>
      <color rgb="FFF8FAFF"/>
      <name val="Segoe UI"/>
      <family val="2"/>
    </font>
    <font>
      <sz val="10.5"/>
      <color rgb="FFF8FAFF"/>
      <name val="Courier New"/>
      <family val="3"/>
    </font>
    <font>
      <i/>
      <sz val="14.5"/>
      <color rgb="FFF8FAFF"/>
      <name val="KaTeX_Math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92A2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8B8B8B"/>
      </bottom>
      <diagonal/>
    </border>
    <border>
      <left/>
      <right/>
      <top/>
      <bottom style="medium">
        <color rgb="FF525252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4" fillId="2" borderId="1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5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3" fillId="0" borderId="5" xfId="0" applyFont="1" applyBorder="1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0" fillId="3" borderId="6" xfId="0" applyFill="1" applyBorder="1"/>
    <xf numFmtId="0" fontId="0" fillId="0" borderId="6" xfId="0" applyBorder="1"/>
    <xf numFmtId="49" fontId="1" fillId="5" borderId="0" xfId="0" applyNumberFormat="1" applyFont="1" applyFill="1"/>
    <xf numFmtId="0" fontId="0" fillId="5" borderId="0" xfId="0" applyFill="1"/>
    <xf numFmtId="0" fontId="0" fillId="0" borderId="7" xfId="0" applyBorder="1"/>
    <xf numFmtId="0" fontId="9" fillId="0" borderId="8" xfId="0" applyFont="1" applyBorder="1" applyAlignment="1">
      <alignment horizontal="center"/>
    </xf>
    <xf numFmtId="0" fontId="3" fillId="6" borderId="0" xfId="0" applyFont="1" applyFill="1"/>
    <xf numFmtId="0" fontId="0" fillId="6" borderId="0" xfId="0" applyFill="1"/>
    <xf numFmtId="49" fontId="1" fillId="5" borderId="0" xfId="0" applyNumberFormat="1" applyFont="1" applyFill="1" applyAlignment="1">
      <alignment horizontal="center" wrapText="1"/>
    </xf>
    <xf numFmtId="49" fontId="0" fillId="5" borderId="0" xfId="0" applyNumberFormat="1" applyFill="1" applyAlignment="1">
      <alignment horizontal="center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OBSERVED</a:t>
            </a:r>
            <a:r>
              <a:rPr lang="en-IN" baseline="0"/>
              <a:t> VS EXPECTED FREQUENCY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Analysis!$Q$5</c:f>
              <c:strCache>
                <c:ptCount val="1"/>
                <c:pt idx="0">
                  <c:v>Observed (O)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Analysis!$P$6:$P$9</c:f>
              <c:strCache>
                <c:ptCount val="4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6-10</c:v>
                </c:pt>
              </c:strCache>
            </c:strRef>
          </c:cat>
          <c:val>
            <c:numRef>
              <c:f>Analysis!$Q$6:$Q$9</c:f>
              <c:numCache>
                <c:formatCode>General</c:formatCode>
                <c:ptCount val="4"/>
                <c:pt idx="0">
                  <c:v>6</c:v>
                </c:pt>
                <c:pt idx="1">
                  <c:v>27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C-441D-A92B-73ACDBB4988E}"/>
            </c:ext>
          </c:extLst>
        </c:ser>
        <c:ser>
          <c:idx val="1"/>
          <c:order val="1"/>
          <c:tx>
            <c:strRef>
              <c:f>Analysis!$R$5</c:f>
              <c:strCache>
                <c:ptCount val="1"/>
                <c:pt idx="0">
                  <c:v>Expected (E)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Analysis!$P$6:$P$9</c:f>
              <c:strCache>
                <c:ptCount val="4"/>
                <c:pt idx="0">
                  <c:v>0-2</c:v>
                </c:pt>
                <c:pt idx="1">
                  <c:v>2-4</c:v>
                </c:pt>
                <c:pt idx="2">
                  <c:v>4-6</c:v>
                </c:pt>
                <c:pt idx="3">
                  <c:v>6-10</c:v>
                </c:pt>
              </c:strCache>
            </c:strRef>
          </c:cat>
          <c:val>
            <c:numRef>
              <c:f>Analysis!$R$6:$R$9</c:f>
              <c:numCache>
                <c:formatCode>General</c:formatCode>
                <c:ptCount val="4"/>
                <c:pt idx="0">
                  <c:v>7.5613000000000001</c:v>
                </c:pt>
                <c:pt idx="1">
                  <c:v>23.496200000000002</c:v>
                </c:pt>
                <c:pt idx="2">
                  <c:v>13.6372</c:v>
                </c:pt>
                <c:pt idx="3">
                  <c:v>5.1003999999999996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C-441D-A92B-73ACDBB498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17155279"/>
        <c:axId val="18171538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Analysis!$S$5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Analysis!$P$6:$P$9</c15:sqref>
                        </c15:formulaRef>
                      </c:ext>
                    </c:extLst>
                    <c:strCache>
                      <c:ptCount val="4"/>
                      <c:pt idx="0">
                        <c:v>0-2</c:v>
                      </c:pt>
                      <c:pt idx="1">
                        <c:v>2-4</c:v>
                      </c:pt>
                      <c:pt idx="2">
                        <c:v>4-6</c:v>
                      </c:pt>
                      <c:pt idx="3">
                        <c:v>6-10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Analysis!$S$6:$S$9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C2C-441D-A92B-73ACDBB4988E}"/>
                  </c:ext>
                </c:extLst>
              </c15:ser>
            </c15:filteredBarSeries>
          </c:ext>
        </c:extLst>
      </c:barChart>
      <c:catAx>
        <c:axId val="181715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53839"/>
        <c:crosses val="autoZero"/>
        <c:auto val="1"/>
        <c:lblAlgn val="ctr"/>
        <c:lblOffset val="100"/>
        <c:noMultiLvlLbl val="0"/>
      </c:catAx>
      <c:valAx>
        <c:axId val="18171538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7155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PP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Analysis!$Z$1</c:f>
              <c:strCache>
                <c:ptCount val="1"/>
                <c:pt idx="0">
                  <c:v>Gamma CDF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Analysis!$Y$2:$Y$51</c:f>
              <c:numCache>
                <c:formatCode>General</c:formatCode>
                <c:ptCount val="5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0.48</c:v>
                </c:pt>
                <c:pt idx="24">
                  <c:v>0.5</c:v>
                </c:pt>
                <c:pt idx="25">
                  <c:v>0.52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</c:v>
                </c:pt>
                <c:pt idx="34">
                  <c:v>0.7</c:v>
                </c:pt>
                <c:pt idx="35">
                  <c:v>0.72</c:v>
                </c:pt>
                <c:pt idx="36">
                  <c:v>0.74</c:v>
                </c:pt>
                <c:pt idx="37">
                  <c:v>0.76</c:v>
                </c:pt>
                <c:pt idx="38">
                  <c:v>0.78</c:v>
                </c:pt>
                <c:pt idx="39">
                  <c:v>0.8</c:v>
                </c:pt>
                <c:pt idx="40">
                  <c:v>0.82</c:v>
                </c:pt>
                <c:pt idx="41">
                  <c:v>0.84</c:v>
                </c:pt>
                <c:pt idx="42">
                  <c:v>0.86</c:v>
                </c:pt>
                <c:pt idx="43">
                  <c:v>0.88</c:v>
                </c:pt>
                <c:pt idx="44">
                  <c:v>0.9</c:v>
                </c:pt>
                <c:pt idx="45">
                  <c:v>0.92</c:v>
                </c:pt>
                <c:pt idx="46">
                  <c:v>0.94</c:v>
                </c:pt>
                <c:pt idx="47">
                  <c:v>0.96</c:v>
                </c:pt>
                <c:pt idx="48">
                  <c:v>0.98</c:v>
                </c:pt>
                <c:pt idx="49">
                  <c:v>1</c:v>
                </c:pt>
              </c:numCache>
            </c:numRef>
          </c:xVal>
          <c:yVal>
            <c:numRef>
              <c:f>Analysis!$Z$2:$Z$51</c:f>
              <c:numCache>
                <c:formatCode>General</c:formatCode>
                <c:ptCount val="50"/>
                <c:pt idx="0">
                  <c:v>3.106326531123935E-2</c:v>
                </c:pt>
                <c:pt idx="1">
                  <c:v>3.9705200558259726E-2</c:v>
                </c:pt>
                <c:pt idx="2">
                  <c:v>4.5108494106491814E-2</c:v>
                </c:pt>
                <c:pt idx="3">
                  <c:v>8.8473799651027293E-2</c:v>
                </c:pt>
                <c:pt idx="4">
                  <c:v>0.13651190148293976</c:v>
                </c:pt>
                <c:pt idx="5">
                  <c:v>0.14618615906025287</c:v>
                </c:pt>
                <c:pt idx="6">
                  <c:v>0.16423150482090421</c:v>
                </c:pt>
                <c:pt idx="7">
                  <c:v>0.16675550772087641</c:v>
                </c:pt>
                <c:pt idx="8">
                  <c:v>0.1785065422243397</c:v>
                </c:pt>
                <c:pt idx="9">
                  <c:v>0.19142799805846122</c:v>
                </c:pt>
                <c:pt idx="10">
                  <c:v>0.20103672284647978</c:v>
                </c:pt>
                <c:pt idx="11">
                  <c:v>0.20148736795351085</c:v>
                </c:pt>
                <c:pt idx="12">
                  <c:v>0.23354135175929194</c:v>
                </c:pt>
                <c:pt idx="13">
                  <c:v>0.23684288045289684</c:v>
                </c:pt>
                <c:pt idx="14">
                  <c:v>0.25232244779352014</c:v>
                </c:pt>
                <c:pt idx="15">
                  <c:v>0.26535312123429328</c:v>
                </c:pt>
                <c:pt idx="16">
                  <c:v>0.28465161532371658</c:v>
                </c:pt>
                <c:pt idx="17">
                  <c:v>0.29500675616624217</c:v>
                </c:pt>
                <c:pt idx="18">
                  <c:v>0.32886498416693916</c:v>
                </c:pt>
                <c:pt idx="19">
                  <c:v>0.37154179236370838</c:v>
                </c:pt>
                <c:pt idx="20">
                  <c:v>0.37681689514120215</c:v>
                </c:pt>
                <c:pt idx="21">
                  <c:v>0.38936480384264688</c:v>
                </c:pt>
                <c:pt idx="22">
                  <c:v>0.3931245400279218</c:v>
                </c:pt>
                <c:pt idx="23">
                  <c:v>0.40413621803921068</c:v>
                </c:pt>
                <c:pt idx="24">
                  <c:v>0.41636195119528641</c:v>
                </c:pt>
                <c:pt idx="25">
                  <c:v>0.46928865074391929</c:v>
                </c:pt>
                <c:pt idx="26">
                  <c:v>0.4765521819237758</c:v>
                </c:pt>
                <c:pt idx="27">
                  <c:v>0.48546100247702884</c:v>
                </c:pt>
                <c:pt idx="28">
                  <c:v>0.49311937432562086</c:v>
                </c:pt>
                <c:pt idx="29">
                  <c:v>0.532766086516274</c:v>
                </c:pt>
                <c:pt idx="30">
                  <c:v>0.55551882261251417</c:v>
                </c:pt>
                <c:pt idx="31">
                  <c:v>0.6074615414527188</c:v>
                </c:pt>
                <c:pt idx="32">
                  <c:v>0.60788073585201774</c:v>
                </c:pt>
                <c:pt idx="33">
                  <c:v>0.6511572768061733</c:v>
                </c:pt>
                <c:pt idx="34">
                  <c:v>0.65869939129391308</c:v>
                </c:pt>
                <c:pt idx="35">
                  <c:v>0.66877486442603562</c:v>
                </c:pt>
                <c:pt idx="36">
                  <c:v>0.74844974110418694</c:v>
                </c:pt>
                <c:pt idx="37">
                  <c:v>0.75953903116935473</c:v>
                </c:pt>
                <c:pt idx="38">
                  <c:v>0.76837050967005205</c:v>
                </c:pt>
                <c:pt idx="39">
                  <c:v>0.77125805114834978</c:v>
                </c:pt>
                <c:pt idx="40">
                  <c:v>0.83188472039804795</c:v>
                </c:pt>
                <c:pt idx="41">
                  <c:v>0.83522419503084222</c:v>
                </c:pt>
                <c:pt idx="42">
                  <c:v>0.83883400440297062</c:v>
                </c:pt>
                <c:pt idx="43">
                  <c:v>0.92064199564949456</c:v>
                </c:pt>
                <c:pt idx="44">
                  <c:v>0.92632525877155902</c:v>
                </c:pt>
                <c:pt idx="45">
                  <c:v>0.95688047844581159</c:v>
                </c:pt>
                <c:pt idx="46">
                  <c:v>0.96351930198767333</c:v>
                </c:pt>
                <c:pt idx="47">
                  <c:v>0.96383652615068116</c:v>
                </c:pt>
                <c:pt idx="48">
                  <c:v>0.96829832047672104</c:v>
                </c:pt>
                <c:pt idx="49">
                  <c:v>0.99215426626586267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8-4BE8-AB26-07163E07F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976672"/>
        <c:axId val="380907488"/>
      </c:scatterChart>
      <c:valAx>
        <c:axId val="38097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EMPIRICAL</a:t>
                </a:r>
                <a:r>
                  <a:rPr lang="en-IN" b="1" baseline="0"/>
                  <a:t> PROBABILITY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07488"/>
        <c:crosses val="autoZero"/>
        <c:crossBetween val="midCat"/>
      </c:valAx>
      <c:valAx>
        <c:axId val="3809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GAMMA</a:t>
                </a:r>
                <a:r>
                  <a:rPr lang="en-IN" b="1" baseline="0"/>
                  <a:t> CDF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97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QQ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Analysis!$AB$1</c:f>
              <c:strCache>
                <c:ptCount val="1"/>
                <c:pt idx="0">
                  <c:v>Sorted Data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Analysis!$AA$2:$AA$51</c:f>
              <c:numCache>
                <c:formatCode>General</c:formatCode>
                <c:ptCount val="50"/>
                <c:pt idx="0">
                  <c:v>1.047880757533753</c:v>
                </c:pt>
                <c:pt idx="1">
                  <c:v>1.284884254109369</c:v>
                </c:pt>
                <c:pt idx="2">
                  <c:v>1.4575194978496295</c:v>
                </c:pt>
                <c:pt idx="3">
                  <c:v>1.6002681858679186</c:v>
                </c:pt>
                <c:pt idx="4">
                  <c:v>1.7253696989855434</c:v>
                </c:pt>
                <c:pt idx="5">
                  <c:v>1.8387608722545798</c:v>
                </c:pt>
                <c:pt idx="6">
                  <c:v>1.9438303674956141</c:v>
                </c:pt>
                <c:pt idx="7">
                  <c:v>2.0427220884699633</c:v>
                </c:pt>
                <c:pt idx="8">
                  <c:v>2.136894085169823</c:v>
                </c:pt>
                <c:pt idx="9">
                  <c:v>2.2273934557769901</c:v>
                </c:pt>
                <c:pt idx="10">
                  <c:v>2.3150054331993322</c:v>
                </c:pt>
                <c:pt idx="11">
                  <c:v>2.4003404292067656</c:v>
                </c:pt>
                <c:pt idx="12">
                  <c:v>2.4838879029998502</c:v>
                </c:pt>
                <c:pt idx="13">
                  <c:v>2.5660513287691544</c:v>
                </c:pt>
                <c:pt idx="14">
                  <c:v>2.6471718339981294</c:v>
                </c:pt>
                <c:pt idx="15">
                  <c:v>2.7275447621393663</c:v>
                </c:pt>
                <c:pt idx="16">
                  <c:v>2.8074316674966227</c:v>
                </c:pt>
                <c:pt idx="17">
                  <c:v>2.8870692841203835</c:v>
                </c:pt>
                <c:pt idx="18">
                  <c:v>2.9666764531003804</c:v>
                </c:pt>
                <c:pt idx="19">
                  <c:v>3.0464596597322102</c:v>
                </c:pt>
                <c:pt idx="20">
                  <c:v>3.1266176278316031</c:v>
                </c:pt>
                <c:pt idx="21">
                  <c:v>3.2073452910372944</c:v>
                </c:pt>
                <c:pt idx="22">
                  <c:v>3.2888373812091989</c:v>
                </c:pt>
                <c:pt idx="23">
                  <c:v>3.371291825362106</c:v>
                </c:pt>
                <c:pt idx="24">
                  <c:v>3.4549131154361268</c:v>
                </c:pt>
                <c:pt idx="25">
                  <c:v>3.5399158043351826</c:v>
                </c:pt>
                <c:pt idx="26">
                  <c:v>3.6265282846215072</c:v>
                </c:pt>
                <c:pt idx="27">
                  <c:v>3.7149970227191784</c:v>
                </c:pt>
                <c:pt idx="28">
                  <c:v>3.8055914530732662</c:v>
                </c:pt>
                <c:pt idx="29">
                  <c:v>3.8986097872297263</c:v>
                </c:pt>
                <c:pt idx="30">
                  <c:v>3.9943860689253659</c:v>
                </c:pt>
                <c:pt idx="31">
                  <c:v>4.0932989189412456</c:v>
                </c:pt>
                <c:pt idx="32">
                  <c:v>4.195782580299908</c:v>
                </c:pt>
                <c:pt idx="33">
                  <c:v>4.3023411239788345</c:v>
                </c:pt>
                <c:pt idx="34">
                  <c:v>4.4135670549119252</c:v>
                </c:pt>
                <c:pt idx="35">
                  <c:v>4.5301661475743993</c:v>
                </c:pt>
                <c:pt idx="36">
                  <c:v>4.6529912790090648</c:v>
                </c:pt>
                <c:pt idx="37">
                  <c:v>4.7830895650670069</c:v>
                </c:pt>
                <c:pt idx="38">
                  <c:v>4.9217697107111089</c:v>
                </c:pt>
                <c:pt idx="39">
                  <c:v>5.0707010707145166</c:v>
                </c:pt>
                <c:pt idx="40">
                  <c:v>5.2320643582489827</c:v>
                </c:pt>
                <c:pt idx="41">
                  <c:v>5.408790321744215</c:v>
                </c:pt>
                <c:pt idx="42">
                  <c:v>5.6049565905130443</c:v>
                </c:pt>
                <c:pt idx="43">
                  <c:v>5.826488620044441</c:v>
                </c:pt>
                <c:pt idx="44">
                  <c:v>6.0824973482242095</c:v>
                </c:pt>
                <c:pt idx="45">
                  <c:v>6.3881090740983559</c:v>
                </c:pt>
                <c:pt idx="46">
                  <c:v>6.7713895519657186</c:v>
                </c:pt>
                <c:pt idx="47">
                  <c:v>7.2945624677263075</c:v>
                </c:pt>
                <c:pt idx="48">
                  <c:v>8.1527810546284361</c:v>
                </c:pt>
                <c:pt idx="49">
                  <c:v>0</c:v>
                </c:pt>
              </c:numCache>
            </c:numRef>
          </c:xVal>
          <c:yVal>
            <c:numRef>
              <c:f>Analysis!$AB$2:$AB$51</c:f>
              <c:numCache>
                <c:formatCode>General</c:formatCode>
                <c:ptCount val="50"/>
                <c:pt idx="0">
                  <c:v>1.1910000000000001</c:v>
                </c:pt>
                <c:pt idx="1">
                  <c:v>1.282</c:v>
                </c:pt>
                <c:pt idx="2">
                  <c:v>1.333</c:v>
                </c:pt>
                <c:pt idx="3">
                  <c:v>1.655</c:v>
                </c:pt>
                <c:pt idx="4">
                  <c:v>1.9259999999999999</c:v>
                </c:pt>
                <c:pt idx="5">
                  <c:v>1.9750000000000001</c:v>
                </c:pt>
                <c:pt idx="6">
                  <c:v>2.0630000000000002</c:v>
                </c:pt>
                <c:pt idx="7">
                  <c:v>2.0750000000000002</c:v>
                </c:pt>
                <c:pt idx="8">
                  <c:v>2.13</c:v>
                </c:pt>
                <c:pt idx="9">
                  <c:v>2.1890000000000001</c:v>
                </c:pt>
                <c:pt idx="10">
                  <c:v>2.2320000000000002</c:v>
                </c:pt>
                <c:pt idx="11">
                  <c:v>2.234</c:v>
                </c:pt>
                <c:pt idx="12">
                  <c:v>2.3730000000000002</c:v>
                </c:pt>
                <c:pt idx="13">
                  <c:v>2.387</c:v>
                </c:pt>
                <c:pt idx="14">
                  <c:v>2.452</c:v>
                </c:pt>
                <c:pt idx="15">
                  <c:v>2.5059999999999998</c:v>
                </c:pt>
                <c:pt idx="16">
                  <c:v>2.585</c:v>
                </c:pt>
                <c:pt idx="17">
                  <c:v>2.6269999999999998</c:v>
                </c:pt>
                <c:pt idx="18">
                  <c:v>2.7629999999999999</c:v>
                </c:pt>
                <c:pt idx="19">
                  <c:v>2.9329999999999998</c:v>
                </c:pt>
                <c:pt idx="20">
                  <c:v>2.9540000000000002</c:v>
                </c:pt>
                <c:pt idx="21">
                  <c:v>3.004</c:v>
                </c:pt>
                <c:pt idx="22">
                  <c:v>3.0190000000000001</c:v>
                </c:pt>
                <c:pt idx="23">
                  <c:v>3.0630000000000002</c:v>
                </c:pt>
                <c:pt idx="24">
                  <c:v>3.1120000000000001</c:v>
                </c:pt>
                <c:pt idx="25">
                  <c:v>3.327</c:v>
                </c:pt>
                <c:pt idx="26">
                  <c:v>3.3570000000000002</c:v>
                </c:pt>
                <c:pt idx="27">
                  <c:v>3.3940000000000001</c:v>
                </c:pt>
                <c:pt idx="28">
                  <c:v>3.4260000000000002</c:v>
                </c:pt>
                <c:pt idx="29">
                  <c:v>3.5950000000000002</c:v>
                </c:pt>
                <c:pt idx="30">
                  <c:v>3.6949999999999998</c:v>
                </c:pt>
                <c:pt idx="31">
                  <c:v>3.9340000000000002</c:v>
                </c:pt>
                <c:pt idx="32">
                  <c:v>3.9359999999999999</c:v>
                </c:pt>
                <c:pt idx="33">
                  <c:v>4.1500000000000004</c:v>
                </c:pt>
                <c:pt idx="34">
                  <c:v>4.1890000000000001</c:v>
                </c:pt>
                <c:pt idx="35">
                  <c:v>4.242</c:v>
                </c:pt>
                <c:pt idx="36">
                  <c:v>4.7069999999999999</c:v>
                </c:pt>
                <c:pt idx="37">
                  <c:v>4.78</c:v>
                </c:pt>
                <c:pt idx="38">
                  <c:v>4.84</c:v>
                </c:pt>
                <c:pt idx="39">
                  <c:v>4.8600000000000003</c:v>
                </c:pt>
                <c:pt idx="40">
                  <c:v>5.335</c:v>
                </c:pt>
                <c:pt idx="41">
                  <c:v>5.3650000000000002</c:v>
                </c:pt>
                <c:pt idx="42">
                  <c:v>5.3979999999999997</c:v>
                </c:pt>
                <c:pt idx="43">
                  <c:v>6.399</c:v>
                </c:pt>
                <c:pt idx="44">
                  <c:v>6.4989999999999997</c:v>
                </c:pt>
                <c:pt idx="45">
                  <c:v>7.1989999999999998</c:v>
                </c:pt>
                <c:pt idx="46">
                  <c:v>7.4109999999999996</c:v>
                </c:pt>
                <c:pt idx="47">
                  <c:v>7.4219999999999997</c:v>
                </c:pt>
                <c:pt idx="48">
                  <c:v>7.5869999999999997</c:v>
                </c:pt>
                <c:pt idx="49">
                  <c:v>9.2579999999999991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D-4BC3-A8EC-203C6006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944176"/>
        <c:axId val="404936016"/>
      </c:scatterChart>
      <c:valAx>
        <c:axId val="4049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THEORETICAL</a:t>
                </a:r>
                <a:r>
                  <a:rPr lang="en-IN" b="1" baseline="0"/>
                  <a:t> GAMMA QUANTILES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36016"/>
        <c:crosses val="autoZero"/>
        <c:crossBetween val="midCat"/>
      </c:valAx>
      <c:valAx>
        <c:axId val="4049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OBSERVED</a:t>
                </a:r>
                <a:r>
                  <a:rPr lang="en-IN" b="1" baseline="0"/>
                  <a:t> DATA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4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 OF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Analysis!$AM$15</c:f>
              <c:strCache>
                <c:ptCount val="1"/>
                <c:pt idx="0">
                  <c:v>Frequency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Analysis!$AL$16:$AL$20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cat>
          <c:val>
            <c:numRef>
              <c:f>Analysis!$AM$16:$AM$20</c:f>
              <c:numCache>
                <c:formatCode>General</c:formatCode>
                <c:ptCount val="5"/>
                <c:pt idx="0">
                  <c:v>6</c:v>
                </c:pt>
                <c:pt idx="1">
                  <c:v>27</c:v>
                </c:pt>
                <c:pt idx="2">
                  <c:v>10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0-4BEE-91AF-832864D8A2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35636928"/>
        <c:axId val="2135637408"/>
      </c:barChart>
      <c:catAx>
        <c:axId val="21356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37408"/>
        <c:crosses val="autoZero"/>
        <c:auto val="1"/>
        <c:lblAlgn val="ctr"/>
        <c:lblOffset val="100"/>
        <c:noMultiLvlLbl val="0"/>
      </c:catAx>
      <c:valAx>
        <c:axId val="21356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3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226978</xdr:colOff>
      <xdr:row>17</xdr:row>
      <xdr:rowOff>113490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43E476-64D8-C99C-341C-97F24C96BBB7}"/>
            </a:ext>
          </a:extLst>
        </xdr:cNvPr>
        <xdr:cNvSpPr txBox="1"/>
      </xdr:nvSpPr>
      <xdr:spPr>
        <a:xfrm>
          <a:off x="9508787" y="432880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13</xdr:col>
      <xdr:colOff>1767191</xdr:colOff>
      <xdr:row>12</xdr:row>
      <xdr:rowOff>1</xdr:rowOff>
    </xdr:from>
    <xdr:to>
      <xdr:col>23</xdr:col>
      <xdr:colOff>354169</xdr:colOff>
      <xdr:row>43</xdr:row>
      <xdr:rowOff>77492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62D43F-554C-85D7-89AC-02B1737BDD6A}"/>
            </a:ext>
          </a:extLst>
        </xdr:cNvPr>
        <xdr:cNvSpPr txBox="1"/>
      </xdr:nvSpPr>
      <xdr:spPr>
        <a:xfrm>
          <a:off x="17368818" y="3254645"/>
          <a:ext cx="8286334" cy="6083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Hypothesis &amp; Data Summary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Distribution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Hypothesized Gamma (right-skewed, positive data).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Histogram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Plotted observed frequencies for initial validation.</a:t>
          </a:r>
        </a:p>
        <a:p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Parameter Estimation (MLE)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Used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Estimated shape (</a:t>
          </a:r>
          <a:r>
            <a:rPr lang="en-IN" sz="16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=3.995) and scale (</a:t>
          </a:r>
          <a:r>
            <a:rPr lang="el-GR" sz="16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θ</a:t>
          </a:r>
          <a:r>
            <a:rPr lang="el-G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=0.933) 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by minimizing residual.</a:t>
          </a:r>
        </a:p>
        <a:p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Goodness-of-Fit Test (Chi-Squared)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Bins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0–2, 2–4, 4–6, 6–10 (merged for E≥5</a:t>
          </a:r>
          <a:r>
            <a:rPr lang="en-IN" sz="16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≥5).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Observed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Counted using COUNTIFS.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Expected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Probability×50 </a:t>
          </a:r>
        </a:p>
        <a:p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 </a:t>
          </a: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Chi-Squared Test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Compared observed vs. expected frequencies.</a:t>
          </a:r>
        </a:p>
        <a:p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Alongside</a:t>
          </a:r>
          <a:r>
            <a:rPr lang="en-IN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PP AND  QQ PLOT.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2.521</a:t>
          </a:r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Critical Value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3.841 (at 95% confidence, 1 degree of freedom).</a:t>
          </a:r>
          <a:endParaRPr lang="en-IN" sz="1600">
            <a:effectLst/>
          </a:endParaRPr>
        </a:p>
        <a:p>
          <a:r>
            <a:rPr lang="en-IN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Since 2.521 &lt; 3.841, the Gamma model </a:t>
          </a: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statistically valid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IN" sz="1600">
            <a:effectLst/>
          </a:endParaRPr>
        </a:p>
        <a:p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Visualization</a:t>
          </a:r>
          <a:endParaRPr lang="en-IN" sz="1600">
            <a:effectLst/>
          </a:endParaRPr>
        </a:p>
        <a:p>
          <a:r>
            <a:rPr lang="en-IN" sz="16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Histogram of Group 19</a:t>
          </a:r>
          <a:r>
            <a:rPr lang="en-IN" sz="16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Compared Observed vs. Expected frequencies</a:t>
          </a:r>
        </a:p>
        <a:p>
          <a:pPr algn="ctr"/>
          <a:endParaRPr lang="en-IN" sz="1600">
            <a:effectLst/>
          </a:endParaRPr>
        </a:p>
        <a:p>
          <a:pPr algn="ctr"/>
          <a:r>
            <a:rPr lang="en-IN" sz="16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 Conclusion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IN" sz="16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Gamma distribution is a statistically valid model for the data</a:t>
          </a:r>
          <a:r>
            <a:rPr lang="en-IN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IN" sz="1600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8</xdr:col>
      <xdr:colOff>879592</xdr:colOff>
      <xdr:row>22</xdr:row>
      <xdr:rowOff>92363</xdr:rowOff>
    </xdr:from>
    <xdr:to>
      <xdr:col>13</xdr:col>
      <xdr:colOff>776654</xdr:colOff>
      <xdr:row>41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E2FDF0-683B-3AD5-49A2-78848B145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543568</xdr:colOff>
      <xdr:row>1</xdr:row>
      <xdr:rowOff>173208</xdr:rowOff>
    </xdr:from>
    <xdr:to>
      <xdr:col>34</xdr:col>
      <xdr:colOff>692196</xdr:colOff>
      <xdr:row>12</xdr:row>
      <xdr:rowOff>130097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6AD4B-828C-1EFC-35CD-0642FEAD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641048</xdr:colOff>
      <xdr:row>14</xdr:row>
      <xdr:rowOff>110066</xdr:rowOff>
    </xdr:from>
    <xdr:to>
      <xdr:col>34</xdr:col>
      <xdr:colOff>697424</xdr:colOff>
      <xdr:row>30</xdr:row>
      <xdr:rowOff>180813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C02A35-16B7-1B00-D8D7-6ECE99240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454269</xdr:colOff>
      <xdr:row>22</xdr:row>
      <xdr:rowOff>146539</xdr:rowOff>
    </xdr:from>
    <xdr:to>
      <xdr:col>7</xdr:col>
      <xdr:colOff>512884</xdr:colOff>
      <xdr:row>40</xdr:row>
      <xdr:rowOff>175846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036A95-D89A-4D58-A3E0-E6FA24F1D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10555-BF2C-4E99-879C-EF5F1513A492}" name="Table2" displayName="Table2" ref="I5:M10" totalsRowShown="0">
  <autoFilter ref="I5:M10" xr:uid="{E7E10555-BF2C-4E99-879C-EF5F1513A492}"/>
  <tableColumns count="5">
    <tableColumn id="1" xr3:uid="{EFB477DC-BA00-46D5-9C4A-D71585CAC90E}" name="Bin Range" dataDxfId="4"/>
    <tableColumn id="2" xr3:uid="{FDB9B128-65BB-4F3F-8E47-E3727A6E6F71}" name="Observed (O)" dataDxfId="3"/>
    <tableColumn id="3" xr3:uid="{799C7A01-C860-49BF-870E-7680C7C5DC38}" name="Probablity" dataDxfId="2"/>
    <tableColumn id="4" xr3:uid="{50732150-C7C4-4243-84E5-258B8B2DB1D6}" name="Expected (E)" dataDxfId="1"/>
    <tableColumn id="5" xr3:uid="{4621F2F0-ECCB-4997-A3FA-7217649D7590}" name="(O - E) ^2 / 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C0858-DF90-4C02-8638-75782D9C1AEE}" name="Table3" displayName="Table3" ref="Y1:AB1048561" totalsRowShown="0">
  <autoFilter ref="Y1:AB1048561" xr:uid="{DE4C0858-DF90-4C02-8638-75782D9C1AEE}"/>
  <tableColumns count="4">
    <tableColumn id="1" xr3:uid="{17B05A1D-5138-4BD1-865A-27440D19298A}" name="Empirical Probability"/>
    <tableColumn id="2" xr3:uid="{5CD572D5-7D08-4805-9C01-05FA8CC80DD8}" name="Gamma CDF"/>
    <tableColumn id="3" xr3:uid="{F1A52867-5981-49E2-83FF-1337B552D040}" name="Theoretical Gamma Quantiles"/>
    <tableColumn id="4" xr3:uid="{E95B428F-E6D4-4270-90C1-52C1B0A7B5EF}" name="Sorted Da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7B41-506F-134D-9049-50485BBFB586}">
  <dimension ref="A1:BN51"/>
  <sheetViews>
    <sheetView tabSelected="1" topLeftCell="I1" zoomScale="56" zoomScaleNormal="42" workbookViewId="0">
      <selection activeCell="R60" sqref="R60"/>
    </sheetView>
  </sheetViews>
  <sheetFormatPr defaultColWidth="11.19921875" defaultRowHeight="15.6"/>
  <cols>
    <col min="1" max="1" width="19.5" customWidth="1"/>
    <col min="5" max="5" width="25.19921875" customWidth="1"/>
    <col min="6" max="6" width="15.8984375" customWidth="1"/>
    <col min="7" max="7" width="11.19921875" customWidth="1"/>
    <col min="8" max="8" width="16.59765625" customWidth="1"/>
    <col min="9" max="9" width="11.8984375" customWidth="1"/>
    <col min="10" max="10" width="14.3984375" style="14" customWidth="1"/>
    <col min="11" max="11" width="23.19921875" customWidth="1"/>
    <col min="12" max="12" width="14.69921875" customWidth="1"/>
    <col min="13" max="13" width="18.3984375" customWidth="1"/>
    <col min="14" max="14" width="23.5" customWidth="1"/>
    <col min="15" max="15" width="12.69921875" customWidth="1"/>
    <col min="17" max="17" width="12.69921875" customWidth="1"/>
    <col min="25" max="25" width="26.3984375" customWidth="1"/>
    <col min="26" max="26" width="19.796875" customWidth="1"/>
    <col min="27" max="27" width="36.3984375" customWidth="1"/>
    <col min="28" max="28" width="19.5" customWidth="1"/>
    <col min="33" max="43" width="10.796875" customWidth="1"/>
    <col min="44" max="44" width="20.09765625" customWidth="1"/>
    <col min="45" max="45" width="18.19921875" customWidth="1"/>
    <col min="46" max="46" width="24.09765625" customWidth="1"/>
    <col min="47" max="47" width="15.3984375" customWidth="1"/>
  </cols>
  <sheetData>
    <row r="1" spans="1:66" ht="2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5"/>
      <c r="K1" s="1"/>
      <c r="L1" s="1"/>
      <c r="M1" s="1"/>
      <c r="N1" s="1"/>
      <c r="O1" s="1"/>
      <c r="P1" s="1"/>
      <c r="Q1" s="1"/>
      <c r="R1" s="1"/>
      <c r="T1" s="1"/>
      <c r="U1" s="1"/>
      <c r="V1" s="1"/>
      <c r="W1" s="1"/>
      <c r="X1" s="1"/>
      <c r="Y1" t="s">
        <v>35</v>
      </c>
      <c r="Z1" t="s">
        <v>36</v>
      </c>
      <c r="AA1" t="s">
        <v>37</v>
      </c>
      <c r="AB1" t="s">
        <v>38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>
        <v>1.1910000000000001</v>
      </c>
      <c r="Y2">
        <f xml:space="preserve"> (ROW() - ROW($Y$1)) / COUNTA($A$2:$A$51)</f>
        <v>0.02</v>
      </c>
      <c r="Z2">
        <f xml:space="preserve"> _xlfn.GAMMA.DIST(A2, $F$17, $F$18, TRUE)</f>
        <v>3.106326531123935E-2</v>
      </c>
      <c r="AA2">
        <f xml:space="preserve"> _xlfn.GAMMA.INV(Y2, $F$17, $F$18)</f>
        <v>1.047880757533753</v>
      </c>
      <c r="AB2">
        <v>1.1910000000000001</v>
      </c>
    </row>
    <row r="3" spans="1:66">
      <c r="A3">
        <v>1.282</v>
      </c>
      <c r="E3" s="3"/>
      <c r="F3" s="3"/>
      <c r="Y3">
        <f t="shared" ref="Y3:Y51" si="0" xml:space="preserve"> (ROW() - ROW($Y$1)) / COUNTA($A$2:$A$51)</f>
        <v>0.04</v>
      </c>
      <c r="Z3">
        <f t="shared" ref="Z3:Z51" si="1" xml:space="preserve"> _xlfn.GAMMA.DIST(A3, $F$17, $F$18, TRUE)</f>
        <v>3.9705200558259726E-2</v>
      </c>
      <c r="AA3">
        <f t="shared" ref="AA3:AA50" si="2" xml:space="preserve"> _xlfn.GAMMA.INV(Y3, $F$17, $F$18)</f>
        <v>1.284884254109369</v>
      </c>
      <c r="AB3">
        <v>1.282</v>
      </c>
    </row>
    <row r="4" spans="1:66" ht="16.2" thickBot="1">
      <c r="A4">
        <v>1.333</v>
      </c>
      <c r="M4" s="1" t="s">
        <v>27</v>
      </c>
      <c r="Y4">
        <f t="shared" si="0"/>
        <v>0.06</v>
      </c>
      <c r="Z4">
        <f t="shared" si="1"/>
        <v>4.5108494106491814E-2</v>
      </c>
      <c r="AA4">
        <f t="shared" si="2"/>
        <v>1.4575194978496295</v>
      </c>
      <c r="AB4">
        <v>1.333</v>
      </c>
    </row>
    <row r="5" spans="1:66" ht="16.2" thickBot="1">
      <c r="A5">
        <v>1.655</v>
      </c>
      <c r="D5" s="10" t="s">
        <v>7</v>
      </c>
      <c r="E5" s="10" t="s">
        <v>8</v>
      </c>
      <c r="F5" s="10" t="s">
        <v>9</v>
      </c>
      <c r="I5" s="2" t="s">
        <v>22</v>
      </c>
      <c r="J5" s="16" t="s">
        <v>20</v>
      </c>
      <c r="K5" s="15" t="s">
        <v>26</v>
      </c>
      <c r="L5" s="2" t="s">
        <v>21</v>
      </c>
      <c r="M5" s="1" t="s">
        <v>28</v>
      </c>
      <c r="P5" s="1" t="s">
        <v>22</v>
      </c>
      <c r="Q5" s="1" t="s">
        <v>20</v>
      </c>
      <c r="R5" s="1" t="s">
        <v>21</v>
      </c>
      <c r="Y5">
        <f t="shared" si="0"/>
        <v>0.08</v>
      </c>
      <c r="Z5">
        <f t="shared" si="1"/>
        <v>8.8473799651027293E-2</v>
      </c>
      <c r="AA5">
        <f t="shared" si="2"/>
        <v>1.6002681858679186</v>
      </c>
      <c r="AB5">
        <v>1.655</v>
      </c>
      <c r="AL5" s="22"/>
      <c r="AM5" s="22"/>
    </row>
    <row r="6" spans="1:66" ht="16.2" thickBot="1">
      <c r="A6">
        <v>1.9259999999999999</v>
      </c>
      <c r="D6" s="11" t="s">
        <v>13</v>
      </c>
      <c r="E6" s="11">
        <f>AVERAGE(A2:A51)</f>
        <v>3.72736</v>
      </c>
      <c r="F6" s="12" t="s">
        <v>10</v>
      </c>
      <c r="I6" s="14" t="s">
        <v>23</v>
      </c>
      <c r="J6">
        <f>COUNTIFS(A2:A51, "&gt;=0", A2:A51, "&lt;2")</f>
        <v>6</v>
      </c>
      <c r="K6">
        <f>_xlfn.GAMMA.DIST(2, F17, F18, TRUE) - _xlfn.GAMMA.DIST(0,F17,F18,TRUE)</f>
        <v>0.1512272699712974</v>
      </c>
      <c r="L6">
        <f>K6*50</f>
        <v>7.5613634985648703</v>
      </c>
      <c r="M6">
        <f>(J6 - L6)^2 / L6</f>
        <v>0.32240957270648762</v>
      </c>
      <c r="P6" s="14" t="s">
        <v>23</v>
      </c>
      <c r="Q6" s="17">
        <v>6</v>
      </c>
      <c r="R6" s="17">
        <v>7.5613000000000001</v>
      </c>
      <c r="S6" s="17"/>
      <c r="Y6">
        <f t="shared" si="0"/>
        <v>0.1</v>
      </c>
      <c r="Z6">
        <f t="shared" si="1"/>
        <v>0.13651190148293976</v>
      </c>
      <c r="AA6">
        <f t="shared" si="2"/>
        <v>1.7253696989855434</v>
      </c>
      <c r="AB6">
        <v>1.9259999999999999</v>
      </c>
    </row>
    <row r="7" spans="1:66" ht="16.2" thickBot="1">
      <c r="A7">
        <v>1.9750000000000001</v>
      </c>
      <c r="D7" s="11" t="s">
        <v>14</v>
      </c>
      <c r="E7" s="11">
        <f>_xlfn.VAR.S(A2:A51)</f>
        <v>3.4774094595918354</v>
      </c>
      <c r="F7" s="12" t="s">
        <v>11</v>
      </c>
      <c r="I7" s="14" t="s">
        <v>24</v>
      </c>
      <c r="J7">
        <f>COUNTIFS(A2:A51, "&gt;=2", A2:A51, "&lt;4")</f>
        <v>27</v>
      </c>
      <c r="K7">
        <f>_xlfn.GAMMA.DIST(4, F17, F18, TRUE) - _xlfn.GAMMA.DIST(2,F17,F18,TRUE)</f>
        <v>0.4699258697095775</v>
      </c>
      <c r="L7">
        <f t="shared" ref="L7:L9" si="3">K7*50</f>
        <v>23.496293485478876</v>
      </c>
      <c r="M7">
        <f t="shared" ref="M7:M9" si="4">(J7 - L7)^2 / L7</f>
        <v>0.52246365357517011</v>
      </c>
      <c r="P7" s="14" t="s">
        <v>24</v>
      </c>
      <c r="Q7" s="18">
        <v>27</v>
      </c>
      <c r="R7" s="18">
        <v>23.496200000000002</v>
      </c>
      <c r="S7" s="18"/>
      <c r="Y7">
        <f t="shared" si="0"/>
        <v>0.12</v>
      </c>
      <c r="Z7">
        <f t="shared" si="1"/>
        <v>0.14618615906025287</v>
      </c>
      <c r="AA7">
        <f t="shared" si="2"/>
        <v>1.8387608722545798</v>
      </c>
      <c r="AB7">
        <v>1.9750000000000001</v>
      </c>
    </row>
    <row r="8" spans="1:66" ht="27" thickBot="1">
      <c r="A8">
        <v>2.0630000000000002</v>
      </c>
      <c r="D8" s="11" t="s">
        <v>17</v>
      </c>
      <c r="E8" s="11" cm="1">
        <f t="array" ref="E8">AVERAGE(LN(A2:A51))</f>
        <v>1.2003485963928076</v>
      </c>
      <c r="F8" s="12" t="s">
        <v>12</v>
      </c>
      <c r="I8" s="14" t="s">
        <v>25</v>
      </c>
      <c r="J8">
        <f>COUNTIFS(A2:A51, "&gt;=4", A2:A51, "&lt;6")</f>
        <v>10</v>
      </c>
      <c r="K8">
        <f>_xlfn.GAMMA.DIST(6,F17,F18,TRUE)-_xlfn.GAMMA.DIST(4,F17,F18,TRUE)</f>
        <v>0.27274542912087152</v>
      </c>
      <c r="L8">
        <f t="shared" si="3"/>
        <v>13.637271456043576</v>
      </c>
      <c r="M8">
        <f t="shared" si="4"/>
        <v>0.97011661662614956</v>
      </c>
      <c r="P8" s="14" t="s">
        <v>25</v>
      </c>
      <c r="Q8" s="17">
        <v>10</v>
      </c>
      <c r="R8" s="17">
        <v>13.6372</v>
      </c>
      <c r="S8" s="17"/>
      <c r="Y8">
        <f t="shared" si="0"/>
        <v>0.14000000000000001</v>
      </c>
      <c r="Z8">
        <f t="shared" si="1"/>
        <v>0.16423150482090421</v>
      </c>
      <c r="AA8">
        <f t="shared" si="2"/>
        <v>1.9438303674956141</v>
      </c>
      <c r="AB8">
        <v>2.0630000000000002</v>
      </c>
    </row>
    <row r="9" spans="1:66" ht="37.799999999999997" thickBot="1">
      <c r="A9">
        <v>2.0750000000000002</v>
      </c>
      <c r="D9" s="11" t="s">
        <v>15</v>
      </c>
      <c r="E9" s="11">
        <v>3.995276579</v>
      </c>
      <c r="F9" s="12" t="s">
        <v>33</v>
      </c>
      <c r="I9" s="14" t="s">
        <v>29</v>
      </c>
      <c r="J9">
        <f>COUNTIFS(A2:A51, "&gt;=6", A2:A51, "&lt;10")</f>
        <v>7</v>
      </c>
      <c r="K9">
        <f>_xlfn.GAMMA.DIST(10,F17,F18,TRUE)-_xlfn.GAMMA.DIST(6,F17,F18,TRUE)</f>
        <v>0.10200986018098301</v>
      </c>
      <c r="L9">
        <f t="shared" si="3"/>
        <v>5.1004930090491509</v>
      </c>
      <c r="M9">
        <f t="shared" si="4"/>
        <v>0.70740746086107997</v>
      </c>
      <c r="P9" s="14" t="s">
        <v>29</v>
      </c>
      <c r="Q9" s="18">
        <v>7</v>
      </c>
      <c r="R9" s="18">
        <v>5.1003999999999996</v>
      </c>
      <c r="S9" s="18"/>
      <c r="Y9">
        <f t="shared" si="0"/>
        <v>0.16</v>
      </c>
      <c r="Z9">
        <f t="shared" si="1"/>
        <v>0.16675550772087641</v>
      </c>
      <c r="AA9">
        <f t="shared" si="2"/>
        <v>2.0427220884699633</v>
      </c>
      <c r="AB9">
        <v>2.0750000000000002</v>
      </c>
    </row>
    <row r="10" spans="1:66" ht="37.799999999999997" thickBot="1">
      <c r="A10">
        <v>2.13</v>
      </c>
      <c r="D10" s="11" t="s">
        <v>16</v>
      </c>
      <c r="E10" s="11">
        <v>0.93294166899999997</v>
      </c>
      <c r="F10" s="12" t="s">
        <v>34</v>
      </c>
      <c r="I10" s="14"/>
      <c r="J10"/>
      <c r="K10" s="14"/>
      <c r="L10" s="14"/>
      <c r="M10" s="1">
        <f>SUM(M6:M9)</f>
        <v>2.5223973037688872</v>
      </c>
      <c r="Y10">
        <f t="shared" si="0"/>
        <v>0.18</v>
      </c>
      <c r="Z10">
        <f t="shared" si="1"/>
        <v>0.1785065422243397</v>
      </c>
      <c r="AA10">
        <f t="shared" si="2"/>
        <v>2.136894085169823</v>
      </c>
      <c r="AB10">
        <v>2.13</v>
      </c>
    </row>
    <row r="11" spans="1:66" ht="16.2" thickBot="1">
      <c r="A11">
        <v>2.1890000000000001</v>
      </c>
      <c r="Y11">
        <f t="shared" si="0"/>
        <v>0.2</v>
      </c>
      <c r="Z11">
        <f t="shared" si="1"/>
        <v>0.19142799805846122</v>
      </c>
      <c r="AA11">
        <f t="shared" si="2"/>
        <v>2.2273934557769901</v>
      </c>
      <c r="AB11">
        <v>2.1890000000000001</v>
      </c>
      <c r="AL11" s="21"/>
      <c r="AM11" s="21"/>
    </row>
    <row r="12" spans="1:66">
      <c r="A12">
        <v>2.2320000000000002</v>
      </c>
      <c r="H12" s="23" t="s">
        <v>42</v>
      </c>
      <c r="I12" s="24">
        <f>_xlfn.CHISQ.DIST.RT(M10,2)</f>
        <v>0.28331422775726223</v>
      </c>
      <c r="K12" s="19" t="s">
        <v>30</v>
      </c>
      <c r="L12" s="20">
        <v>1</v>
      </c>
      <c r="Y12">
        <f t="shared" si="0"/>
        <v>0.22</v>
      </c>
      <c r="Z12">
        <f t="shared" si="1"/>
        <v>0.20103672284647978</v>
      </c>
      <c r="AA12">
        <f t="shared" si="2"/>
        <v>2.3150054331993322</v>
      </c>
      <c r="AB12">
        <v>2.2320000000000002</v>
      </c>
    </row>
    <row r="13" spans="1:66">
      <c r="A13">
        <v>2.234</v>
      </c>
      <c r="K13" s="19" t="s">
        <v>31</v>
      </c>
      <c r="L13" s="20">
        <f>_xlfn.CHISQ.INV.RT(0.05,L12)</f>
        <v>3.8414588206941236</v>
      </c>
      <c r="Y13">
        <f t="shared" si="0"/>
        <v>0.24</v>
      </c>
      <c r="Z13">
        <f t="shared" si="1"/>
        <v>0.20148736795351085</v>
      </c>
      <c r="AA13">
        <f t="shared" si="2"/>
        <v>2.4003404292067656</v>
      </c>
      <c r="AB13">
        <v>2.234</v>
      </c>
    </row>
    <row r="14" spans="1:66" ht="16.2" thickBot="1">
      <c r="A14">
        <v>2.3730000000000002</v>
      </c>
      <c r="E14" s="7" t="s">
        <v>4</v>
      </c>
      <c r="F14" s="4" t="s">
        <v>3</v>
      </c>
      <c r="Y14">
        <f t="shared" si="0"/>
        <v>0.26</v>
      </c>
      <c r="Z14">
        <f t="shared" si="1"/>
        <v>0.23354135175929194</v>
      </c>
      <c r="AA14">
        <f t="shared" si="2"/>
        <v>2.4838879029998502</v>
      </c>
      <c r="AB14">
        <v>2.3730000000000002</v>
      </c>
    </row>
    <row r="15" spans="1:66">
      <c r="A15">
        <v>2.387</v>
      </c>
      <c r="E15" s="8" t="s">
        <v>1</v>
      </c>
      <c r="F15" s="5">
        <f>AVERAGE(A2:A51)</f>
        <v>3.72736</v>
      </c>
      <c r="H15" s="2"/>
      <c r="J15" s="25" t="s">
        <v>32</v>
      </c>
      <c r="K15" s="26"/>
      <c r="L15" s="26"/>
      <c r="M15" s="26"/>
      <c r="Y15">
        <f t="shared" si="0"/>
        <v>0.28000000000000003</v>
      </c>
      <c r="Z15">
        <f t="shared" si="1"/>
        <v>0.23684288045289684</v>
      </c>
      <c r="AA15">
        <f t="shared" si="2"/>
        <v>2.5660513287691544</v>
      </c>
      <c r="AB15">
        <v>2.387</v>
      </c>
      <c r="AL15" s="22" t="s">
        <v>39</v>
      </c>
      <c r="AM15" s="22" t="s">
        <v>41</v>
      </c>
    </row>
    <row r="16" spans="1:66" ht="15.6" customHeight="1">
      <c r="A16">
        <v>2.452</v>
      </c>
      <c r="E16" s="9" t="s">
        <v>2</v>
      </c>
      <c r="F16" s="6">
        <f>_xlfn.VAR.S(A2:A51)</f>
        <v>3.4774094595918354</v>
      </c>
      <c r="H16" s="2"/>
      <c r="Y16">
        <f t="shared" si="0"/>
        <v>0.3</v>
      </c>
      <c r="Z16">
        <f t="shared" si="1"/>
        <v>0.25232244779352014</v>
      </c>
      <c r="AA16">
        <f t="shared" si="2"/>
        <v>2.6471718339981294</v>
      </c>
      <c r="AB16">
        <v>2.452</v>
      </c>
      <c r="AL16">
        <v>2</v>
      </c>
      <c r="AM16">
        <v>6</v>
      </c>
    </row>
    <row r="17" spans="1:39">
      <c r="A17">
        <v>2.5059999999999998</v>
      </c>
      <c r="E17" s="8" t="s">
        <v>19</v>
      </c>
      <c r="F17" s="5">
        <v>4.4952969064465931</v>
      </c>
      <c r="H17" s="2"/>
      <c r="Y17">
        <f t="shared" si="0"/>
        <v>0.32</v>
      </c>
      <c r="Z17">
        <f t="shared" si="1"/>
        <v>0.26535312123429328</v>
      </c>
      <c r="AA17">
        <f t="shared" si="2"/>
        <v>2.7275447621393663</v>
      </c>
      <c r="AB17">
        <v>2.5059999999999998</v>
      </c>
      <c r="AL17">
        <v>4</v>
      </c>
      <c r="AM17">
        <v>27</v>
      </c>
    </row>
    <row r="18" spans="1:39">
      <c r="A18">
        <v>2.585</v>
      </c>
      <c r="E18" s="9" t="s">
        <v>5</v>
      </c>
      <c r="F18" s="6">
        <f>F15/F17</f>
        <v>0.82916881299980116</v>
      </c>
      <c r="Y18">
        <f t="shared" si="0"/>
        <v>0.34</v>
      </c>
      <c r="Z18">
        <f t="shared" si="1"/>
        <v>0.28465161532371658</v>
      </c>
      <c r="AA18">
        <f t="shared" si="2"/>
        <v>2.8074316674966227</v>
      </c>
      <c r="AB18">
        <v>2.585</v>
      </c>
      <c r="AL18">
        <v>6</v>
      </c>
      <c r="AM18">
        <v>10</v>
      </c>
    </row>
    <row r="19" spans="1:39">
      <c r="A19">
        <v>2.6269999999999998</v>
      </c>
      <c r="E19" s="8" t="s">
        <v>6</v>
      </c>
      <c r="F19" s="5" cm="1">
        <f t="array" ref="F19">AVERAGE(LN(A2:A51))</f>
        <v>1.2003485963928076</v>
      </c>
      <c r="Y19">
        <f t="shared" si="0"/>
        <v>0.36</v>
      </c>
      <c r="Z19">
        <f t="shared" si="1"/>
        <v>0.29500675616624217</v>
      </c>
      <c r="AA19">
        <f t="shared" si="2"/>
        <v>2.8870692841203835</v>
      </c>
      <c r="AB19">
        <v>2.6269999999999998</v>
      </c>
      <c r="AL19">
        <v>8</v>
      </c>
      <c r="AM19">
        <v>6</v>
      </c>
    </row>
    <row r="20" spans="1:39">
      <c r="A20">
        <v>2.7629999999999999</v>
      </c>
      <c r="E20" s="13" t="s">
        <v>18</v>
      </c>
      <c r="F20">
        <f>LN(F15) - F19 - (LN(F17) - F21)</f>
        <v>4.1175146869854018E-7</v>
      </c>
      <c r="Y20">
        <f t="shared" si="0"/>
        <v>0.38</v>
      </c>
      <c r="Z20">
        <f t="shared" si="1"/>
        <v>0.32886498416693916</v>
      </c>
      <c r="AA20">
        <f t="shared" si="2"/>
        <v>2.9666764531003804</v>
      </c>
      <c r="AB20">
        <v>2.7629999999999999</v>
      </c>
      <c r="AL20">
        <v>10</v>
      </c>
      <c r="AM20">
        <v>1</v>
      </c>
    </row>
    <row r="21" spans="1:39" ht="16.2" thickBot="1">
      <c r="A21">
        <v>2.9329999999999998</v>
      </c>
      <c r="F21">
        <f>LN(F17) - (1/(2*F17)) - (1/(12*F17^2))</f>
        <v>1.3876805182226517</v>
      </c>
      <c r="Y21">
        <f t="shared" si="0"/>
        <v>0.4</v>
      </c>
      <c r="Z21">
        <f t="shared" si="1"/>
        <v>0.37154179236370838</v>
      </c>
      <c r="AA21">
        <f t="shared" si="2"/>
        <v>3.0464596597322102</v>
      </c>
      <c r="AB21">
        <v>2.9329999999999998</v>
      </c>
      <c r="AL21" s="21" t="s">
        <v>40</v>
      </c>
      <c r="AM21" s="21">
        <v>0</v>
      </c>
    </row>
    <row r="22" spans="1:39">
      <c r="A22">
        <v>2.9540000000000002</v>
      </c>
      <c r="Y22">
        <f t="shared" si="0"/>
        <v>0.42</v>
      </c>
      <c r="Z22">
        <f t="shared" si="1"/>
        <v>0.37681689514120215</v>
      </c>
      <c r="AA22">
        <f t="shared" si="2"/>
        <v>3.1266176278316031</v>
      </c>
      <c r="AB22">
        <v>2.9540000000000002</v>
      </c>
    </row>
    <row r="23" spans="1:39">
      <c r="A23">
        <v>3.004</v>
      </c>
      <c r="Y23">
        <f t="shared" si="0"/>
        <v>0.44</v>
      </c>
      <c r="Z23">
        <f t="shared" si="1"/>
        <v>0.38936480384264688</v>
      </c>
      <c r="AA23">
        <f t="shared" si="2"/>
        <v>3.2073452910372944</v>
      </c>
      <c r="AB23">
        <v>3.004</v>
      </c>
    </row>
    <row r="24" spans="1:39">
      <c r="A24">
        <v>3.0190000000000001</v>
      </c>
      <c r="Y24">
        <f t="shared" si="0"/>
        <v>0.46</v>
      </c>
      <c r="Z24">
        <f t="shared" si="1"/>
        <v>0.3931245400279218</v>
      </c>
      <c r="AA24">
        <f t="shared" si="2"/>
        <v>3.2888373812091989</v>
      </c>
      <c r="AB24">
        <v>3.0190000000000001</v>
      </c>
    </row>
    <row r="25" spans="1:39">
      <c r="A25">
        <v>3.0630000000000002</v>
      </c>
      <c r="Y25">
        <f t="shared" si="0"/>
        <v>0.48</v>
      </c>
      <c r="Z25">
        <f t="shared" si="1"/>
        <v>0.40413621803921068</v>
      </c>
      <c r="AA25">
        <f t="shared" si="2"/>
        <v>3.371291825362106</v>
      </c>
      <c r="AB25">
        <v>3.0630000000000002</v>
      </c>
    </row>
    <row r="26" spans="1:39">
      <c r="A26">
        <v>3.1120000000000001</v>
      </c>
      <c r="Y26">
        <f t="shared" si="0"/>
        <v>0.5</v>
      </c>
      <c r="Z26">
        <f t="shared" si="1"/>
        <v>0.41636195119528641</v>
      </c>
      <c r="AA26">
        <f t="shared" si="2"/>
        <v>3.4549131154361268</v>
      </c>
      <c r="AB26">
        <v>3.1120000000000001</v>
      </c>
    </row>
    <row r="27" spans="1:39">
      <c r="A27">
        <v>3.327</v>
      </c>
      <c r="Y27">
        <f t="shared" si="0"/>
        <v>0.52</v>
      </c>
      <c r="Z27">
        <f t="shared" si="1"/>
        <v>0.46928865074391929</v>
      </c>
      <c r="AA27">
        <f t="shared" si="2"/>
        <v>3.5399158043351826</v>
      </c>
      <c r="AB27">
        <v>3.327</v>
      </c>
    </row>
    <row r="28" spans="1:39">
      <c r="A28">
        <v>3.3570000000000002</v>
      </c>
      <c r="Y28">
        <f t="shared" si="0"/>
        <v>0.54</v>
      </c>
      <c r="Z28">
        <f t="shared" si="1"/>
        <v>0.4765521819237758</v>
      </c>
      <c r="AA28">
        <f t="shared" si="2"/>
        <v>3.6265282846215072</v>
      </c>
      <c r="AB28">
        <v>3.3570000000000002</v>
      </c>
    </row>
    <row r="29" spans="1:39">
      <c r="A29">
        <v>3.3940000000000001</v>
      </c>
      <c r="Y29">
        <f t="shared" si="0"/>
        <v>0.56000000000000005</v>
      </c>
      <c r="Z29">
        <f t="shared" si="1"/>
        <v>0.48546100247702884</v>
      </c>
      <c r="AA29">
        <f t="shared" si="2"/>
        <v>3.7149970227191784</v>
      </c>
      <c r="AB29">
        <v>3.3940000000000001</v>
      </c>
    </row>
    <row r="30" spans="1:39">
      <c r="A30">
        <v>3.4260000000000002</v>
      </c>
      <c r="Y30">
        <f t="shared" si="0"/>
        <v>0.57999999999999996</v>
      </c>
      <c r="Z30">
        <f t="shared" si="1"/>
        <v>0.49311937432562086</v>
      </c>
      <c r="AA30">
        <f t="shared" si="2"/>
        <v>3.8055914530732662</v>
      </c>
      <c r="AB30">
        <v>3.4260000000000002</v>
      </c>
    </row>
    <row r="31" spans="1:39">
      <c r="A31">
        <v>3.5950000000000002</v>
      </c>
      <c r="Y31">
        <f t="shared" si="0"/>
        <v>0.6</v>
      </c>
      <c r="Z31">
        <f t="shared" si="1"/>
        <v>0.532766086516274</v>
      </c>
      <c r="AA31">
        <f t="shared" si="2"/>
        <v>3.8986097872297263</v>
      </c>
      <c r="AB31">
        <v>3.5950000000000002</v>
      </c>
    </row>
    <row r="32" spans="1:39">
      <c r="A32">
        <v>3.6949999999999998</v>
      </c>
      <c r="Y32">
        <f t="shared" si="0"/>
        <v>0.62</v>
      </c>
      <c r="Z32">
        <f t="shared" si="1"/>
        <v>0.55551882261251417</v>
      </c>
      <c r="AA32">
        <f t="shared" si="2"/>
        <v>3.9943860689253659</v>
      </c>
      <c r="AB32">
        <v>3.6949999999999998</v>
      </c>
    </row>
    <row r="33" spans="1:28">
      <c r="A33">
        <v>3.9340000000000002</v>
      </c>
      <c r="Y33">
        <f t="shared" si="0"/>
        <v>0.64</v>
      </c>
      <c r="Z33">
        <f t="shared" si="1"/>
        <v>0.6074615414527188</v>
      </c>
      <c r="AA33">
        <f t="shared" si="2"/>
        <v>4.0932989189412456</v>
      </c>
      <c r="AB33">
        <v>3.9340000000000002</v>
      </c>
    </row>
    <row r="34" spans="1:28">
      <c r="A34">
        <v>3.9359999999999999</v>
      </c>
      <c r="Y34">
        <f t="shared" si="0"/>
        <v>0.66</v>
      </c>
      <c r="Z34">
        <f t="shared" si="1"/>
        <v>0.60788073585201774</v>
      </c>
      <c r="AA34">
        <f t="shared" si="2"/>
        <v>4.195782580299908</v>
      </c>
      <c r="AB34">
        <v>3.9359999999999999</v>
      </c>
    </row>
    <row r="35" spans="1:28">
      <c r="A35">
        <v>4.1500000000000004</v>
      </c>
      <c r="Y35">
        <f t="shared" si="0"/>
        <v>0.68</v>
      </c>
      <c r="Z35">
        <f t="shared" si="1"/>
        <v>0.6511572768061733</v>
      </c>
      <c r="AA35">
        <f t="shared" si="2"/>
        <v>4.3023411239788345</v>
      </c>
      <c r="AB35">
        <v>4.1500000000000004</v>
      </c>
    </row>
    <row r="36" spans="1:28">
      <c r="A36">
        <v>4.1890000000000001</v>
      </c>
      <c r="Y36">
        <f t="shared" si="0"/>
        <v>0.7</v>
      </c>
      <c r="Z36">
        <f t="shared" si="1"/>
        <v>0.65869939129391308</v>
      </c>
      <c r="AA36">
        <f t="shared" si="2"/>
        <v>4.4135670549119252</v>
      </c>
      <c r="AB36">
        <v>4.1890000000000001</v>
      </c>
    </row>
    <row r="37" spans="1:28">
      <c r="A37">
        <v>4.242</v>
      </c>
      <c r="Y37">
        <f t="shared" si="0"/>
        <v>0.72</v>
      </c>
      <c r="Z37">
        <f t="shared" si="1"/>
        <v>0.66877486442603562</v>
      </c>
      <c r="AA37">
        <f t="shared" si="2"/>
        <v>4.5301661475743993</v>
      </c>
      <c r="AB37">
        <v>4.242</v>
      </c>
    </row>
    <row r="38" spans="1:28">
      <c r="A38">
        <v>4.7069999999999999</v>
      </c>
      <c r="Y38">
        <f t="shared" si="0"/>
        <v>0.74</v>
      </c>
      <c r="Z38">
        <f t="shared" si="1"/>
        <v>0.74844974110418694</v>
      </c>
      <c r="AA38">
        <f t="shared" si="2"/>
        <v>4.6529912790090648</v>
      </c>
      <c r="AB38">
        <v>4.7069999999999999</v>
      </c>
    </row>
    <row r="39" spans="1:28">
      <c r="A39">
        <v>4.78</v>
      </c>
      <c r="Y39">
        <f t="shared" si="0"/>
        <v>0.76</v>
      </c>
      <c r="Z39">
        <f t="shared" si="1"/>
        <v>0.75953903116935473</v>
      </c>
      <c r="AA39">
        <f t="shared" si="2"/>
        <v>4.7830895650670069</v>
      </c>
      <c r="AB39">
        <v>4.78</v>
      </c>
    </row>
    <row r="40" spans="1:28">
      <c r="A40">
        <v>4.84</v>
      </c>
      <c r="Y40">
        <f t="shared" si="0"/>
        <v>0.78</v>
      </c>
      <c r="Z40">
        <f t="shared" si="1"/>
        <v>0.76837050967005205</v>
      </c>
      <c r="AA40">
        <f t="shared" si="2"/>
        <v>4.9217697107111089</v>
      </c>
      <c r="AB40">
        <v>4.84</v>
      </c>
    </row>
    <row r="41" spans="1:28">
      <c r="A41">
        <v>4.8600000000000003</v>
      </c>
      <c r="Y41">
        <f t="shared" si="0"/>
        <v>0.8</v>
      </c>
      <c r="Z41">
        <f t="shared" si="1"/>
        <v>0.77125805114834978</v>
      </c>
      <c r="AA41">
        <f t="shared" si="2"/>
        <v>5.0707010707145166</v>
      </c>
      <c r="AB41">
        <v>4.8600000000000003</v>
      </c>
    </row>
    <row r="42" spans="1:28">
      <c r="A42">
        <v>5.335</v>
      </c>
      <c r="Y42">
        <f t="shared" si="0"/>
        <v>0.82</v>
      </c>
      <c r="Z42">
        <f t="shared" si="1"/>
        <v>0.83188472039804795</v>
      </c>
      <c r="AA42">
        <f t="shared" si="2"/>
        <v>5.2320643582489827</v>
      </c>
      <c r="AB42">
        <v>5.335</v>
      </c>
    </row>
    <row r="43" spans="1:28">
      <c r="A43">
        <v>5.3650000000000002</v>
      </c>
      <c r="Y43">
        <f t="shared" si="0"/>
        <v>0.84</v>
      </c>
      <c r="Z43">
        <f t="shared" si="1"/>
        <v>0.83522419503084222</v>
      </c>
      <c r="AA43">
        <f t="shared" si="2"/>
        <v>5.408790321744215</v>
      </c>
      <c r="AB43">
        <v>5.3650000000000002</v>
      </c>
    </row>
    <row r="44" spans="1:28">
      <c r="A44">
        <v>5.3979999999999997</v>
      </c>
      <c r="Y44">
        <f t="shared" si="0"/>
        <v>0.86</v>
      </c>
      <c r="Z44">
        <f t="shared" si="1"/>
        <v>0.83883400440297062</v>
      </c>
      <c r="AA44">
        <f t="shared" si="2"/>
        <v>5.6049565905130443</v>
      </c>
      <c r="AB44">
        <v>5.3979999999999997</v>
      </c>
    </row>
    <row r="45" spans="1:28">
      <c r="A45">
        <v>6.399</v>
      </c>
      <c r="Y45">
        <f t="shared" si="0"/>
        <v>0.88</v>
      </c>
      <c r="Z45">
        <f t="shared" si="1"/>
        <v>0.92064199564949456</v>
      </c>
      <c r="AA45">
        <f t="shared" si="2"/>
        <v>5.826488620044441</v>
      </c>
      <c r="AB45">
        <v>6.399</v>
      </c>
    </row>
    <row r="46" spans="1:28">
      <c r="A46">
        <v>6.4989999999999997</v>
      </c>
      <c r="Y46">
        <f t="shared" si="0"/>
        <v>0.9</v>
      </c>
      <c r="Z46">
        <f t="shared" si="1"/>
        <v>0.92632525877155902</v>
      </c>
      <c r="AA46">
        <f t="shared" si="2"/>
        <v>6.0824973482242095</v>
      </c>
      <c r="AB46">
        <v>6.4989999999999997</v>
      </c>
    </row>
    <row r="47" spans="1:28">
      <c r="A47">
        <v>7.1989999999999998</v>
      </c>
      <c r="Y47">
        <f t="shared" si="0"/>
        <v>0.92</v>
      </c>
      <c r="Z47">
        <f t="shared" si="1"/>
        <v>0.95688047844581159</v>
      </c>
      <c r="AA47">
        <f t="shared" si="2"/>
        <v>6.3881090740983559</v>
      </c>
      <c r="AB47">
        <v>7.1989999999999998</v>
      </c>
    </row>
    <row r="48" spans="1:28">
      <c r="A48">
        <v>7.4109999999999996</v>
      </c>
      <c r="Y48">
        <f t="shared" si="0"/>
        <v>0.94</v>
      </c>
      <c r="Z48">
        <f t="shared" si="1"/>
        <v>0.96351930198767333</v>
      </c>
      <c r="AA48">
        <f t="shared" si="2"/>
        <v>6.7713895519657186</v>
      </c>
      <c r="AB48">
        <v>7.4109999999999996</v>
      </c>
    </row>
    <row r="49" spans="1:28">
      <c r="A49">
        <v>7.4219999999999997</v>
      </c>
      <c r="Y49">
        <f t="shared" si="0"/>
        <v>0.96</v>
      </c>
      <c r="Z49">
        <f t="shared" si="1"/>
        <v>0.96383652615068116</v>
      </c>
      <c r="AA49">
        <f t="shared" si="2"/>
        <v>7.2945624677263075</v>
      </c>
      <c r="AB49">
        <v>7.4219999999999997</v>
      </c>
    </row>
    <row r="50" spans="1:28">
      <c r="A50">
        <v>7.5869999999999997</v>
      </c>
      <c r="Y50">
        <f t="shared" si="0"/>
        <v>0.98</v>
      </c>
      <c r="Z50">
        <f t="shared" si="1"/>
        <v>0.96829832047672104</v>
      </c>
      <c r="AA50">
        <f t="shared" si="2"/>
        <v>8.1527810546284361</v>
      </c>
      <c r="AB50">
        <v>7.5869999999999997</v>
      </c>
    </row>
    <row r="51" spans="1:28">
      <c r="A51">
        <v>9.2579999999999991</v>
      </c>
      <c r="Y51">
        <f t="shared" si="0"/>
        <v>1</v>
      </c>
      <c r="Z51">
        <f t="shared" si="1"/>
        <v>0.99215426626586267</v>
      </c>
      <c r="AA51" t="e">
        <f>_xlfn.GAMMA.INV(Y51,F17,F18)</f>
        <v>#NUM!</v>
      </c>
      <c r="AB51">
        <v>9.2579999999999991</v>
      </c>
    </row>
  </sheetData>
  <sortState xmlns:xlrd2="http://schemas.microsoft.com/office/spreadsheetml/2017/richdata2" ref="AL6:AL10">
    <sortCondition ref="AL6"/>
  </sortState>
  <mergeCells count="1">
    <mergeCell ref="J15:M15"/>
  </mergeCells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Kaveh Amouzgar</dc:creator>
  <cp:lastModifiedBy>Phoenixx .</cp:lastModifiedBy>
  <dcterms:created xsi:type="dcterms:W3CDTF">2024-04-16T09:57:14Z</dcterms:created>
  <dcterms:modified xsi:type="dcterms:W3CDTF">2025-05-16T15:27:53Z</dcterms:modified>
</cp:coreProperties>
</file>